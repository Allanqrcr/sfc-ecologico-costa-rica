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ropbox\allan\trabajo\UNA\Análisis Economía Ambiental\Datos parámetros\"/>
    </mc:Choice>
  </mc:AlternateContent>
  <xr:revisionPtr revIDLastSave="0" documentId="13_ncr:1_{9760D3FA-2FC4-4867-B7B4-F30665D085C9}" xr6:coauthVersionLast="47" xr6:coauthVersionMax="47" xr10:uidLastSave="{00000000-0000-0000-0000-000000000000}"/>
  <bookViews>
    <workbookView xWindow="-15468" yWindow="-108" windowWidth="15576" windowHeight="11016" xr2:uid="{360B067B-BFE8-43E3-A3B8-960E5D0D8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4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</calcChain>
</file>

<file path=xl/sharedStrings.xml><?xml version="1.0" encoding="utf-8"?>
<sst xmlns="http://schemas.openxmlformats.org/spreadsheetml/2006/main" count="41" uniqueCount="41">
  <si>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</si>
  <si>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</si>
  <si>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</si>
  <si>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</si>
  <si>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</si>
  <si>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</si>
  <si>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</si>
  <si>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</si>
  <si>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</si>
  <si>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</si>
  <si>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</si>
  <si>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</si>
  <si>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</si>
  <si>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</si>
  <si>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</si>
  <si>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</si>
  <si>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</si>
  <si>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</si>
  <si>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</si>
  <si>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</si>
  <si>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</si>
  <si>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</si>
  <si>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</si>
  <si>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</si>
  <si>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</si>
  <si>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</si>
  <si>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</si>
  <si>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</si>
  <si>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</si>
  <si>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</si>
  <si>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</si>
  <si>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</si>
  <si>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</si>
  <si>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</si>
  <si>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</t>
  </si>
  <si>
    <t>t</t>
  </si>
  <si>
    <t>Y</t>
  </si>
  <si>
    <t>G</t>
  </si>
  <si>
    <t>YD</t>
  </si>
  <si>
    <t>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</si>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</sst>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1283-4FCB-4432-BF00-551824E193D9}">
  <dimension ref="A1:G35"/>
  <sheetViews>
    <sheetView tabSelected="1" workbookViewId="0">
      <selection activeCell="G2" sqref="G2"/>
    </sheetView>
  </sheetViews>
  <sheetFormatPr defaultRowHeight="14.4" x14ac:dyDescent="0.3"/>
  <cols>
    <col min="2" max="3" width="11.6640625" bestFit="1" customWidth="1"/>
    <col min="4" max="4" width="10.6640625" bestFit="1" customWidth="1"/>
    <col min="5" max="6" width="11.6640625" bestFit="1" customWidth="1"/>
    <col min="7" max="7" width="12.6640625" bestFit="1" customWidth="1"/>
  </cols>
  <sheetData>
    <row r="1" spans="1:7" x14ac:dyDescent="0.3">
      <c r="A1" t="s">
        <v>35</v>
      </c>
      <c r="B1" t="s">
        <v>34</v>
      </c>
      <c r="C1" t="s">
        <v>36</v>
      </c>
      <c r="D1" t="s">
        <v>37</v>
      </c>
      <c r="E1" t="s">
        <v>38</v>
      </c>
      <c r="F1" t="s">
        <v>40</v>
      </c>
      <c r="G1" t="s">
        <v>39</v>
      </c>
    </row>
    <row r="2" spans="1:7" x14ac:dyDescent="0.3">
      <c r="A2" s="1" t="s">
        <v>0</v>
      </c>
      <c r="B2" s="2">
        <v>643447.16582823999</v>
      </c>
      <c r="C2" s="2">
        <v>881040.08200095</v>
      </c>
      <c r="D2" s="2">
        <v>116234.88193283</v>
      </c>
      <c r="E2" s="2">
        <f>C2-D2</f>
        <v>764805.20006812003</v>
      </c>
      <c r="F2" s="2">
        <f>E2-B2</f>
        <v>121358.03423988004</v>
      </c>
      <c r="G2" s="2">
        <f>F2</f>
        <v>121358.03423988004</v>
      </c>
    </row>
    <row r="3" spans="1:7" x14ac:dyDescent="0.3">
      <c r="A3" s="1" t="s">
        <v>1</v>
      </c>
      <c r="B3" s="2">
        <v>840775.43194008002</v>
      </c>
      <c r="C3" s="2">
        <v>1151917.8737580699</v>
      </c>
      <c r="D3" s="2">
        <v>139497.58887514999</v>
      </c>
      <c r="E3" s="2">
        <f t="shared" ref="E3:E35" si="0">C3-D3</f>
        <v>1012420.28488292</v>
      </c>
      <c r="F3" s="2">
        <f t="shared" ref="F3:F35" si="1">E3-B3</f>
        <v>171644.85294283996</v>
      </c>
      <c r="G3" s="2">
        <f>E3-B3+G2</f>
        <v>293002.88718272001</v>
      </c>
    </row>
    <row r="4" spans="1:7" x14ac:dyDescent="0.3">
      <c r="A4" s="1" t="s">
        <v>2</v>
      </c>
      <c r="B4" s="2">
        <v>1001063.93224544</v>
      </c>
      <c r="C4" s="2">
        <v>1362412.38754916</v>
      </c>
      <c r="D4" s="2">
        <v>174004.32965676</v>
      </c>
      <c r="E4" s="2">
        <f t="shared" si="0"/>
        <v>1188408.0578924001</v>
      </c>
      <c r="F4" s="2">
        <f t="shared" si="1"/>
        <v>187344.12564696011</v>
      </c>
      <c r="G4" s="2">
        <f>E4-B4+G3</f>
        <v>480347.01282968011</v>
      </c>
    </row>
    <row r="5" spans="1:7" x14ac:dyDescent="0.3">
      <c r="A5" s="1" t="s">
        <v>3</v>
      </c>
      <c r="B5" s="2">
        <v>1188554.57129266</v>
      </c>
      <c r="C5" s="2">
        <v>1647124.68288853</v>
      </c>
      <c r="D5" s="2">
        <v>219032.63559202</v>
      </c>
      <c r="E5" s="2">
        <f t="shared" si="0"/>
        <v>1428092.0472965101</v>
      </c>
      <c r="F5" s="2">
        <f t="shared" si="1"/>
        <v>239537.47600385011</v>
      </c>
      <c r="G5" s="2">
        <f t="shared" ref="G5:G35" si="2">E5-B5+G4</f>
        <v>719884.48883353022</v>
      </c>
    </row>
    <row r="6" spans="1:7" x14ac:dyDescent="0.3">
      <c r="A6" s="1" t="s">
        <v>4</v>
      </c>
      <c r="B6" s="2">
        <v>1477688.86622774</v>
      </c>
      <c r="C6" s="2">
        <v>2079862.8869384101</v>
      </c>
      <c r="D6" s="2">
        <v>268857.39740507997</v>
      </c>
      <c r="E6" s="2">
        <f t="shared" si="0"/>
        <v>1811005.4895333301</v>
      </c>
      <c r="F6" s="2">
        <f t="shared" si="1"/>
        <v>333316.62330559012</v>
      </c>
      <c r="G6" s="2">
        <f t="shared" si="2"/>
        <v>1053201.1121391202</v>
      </c>
    </row>
    <row r="7" spans="1:7" x14ac:dyDescent="0.3">
      <c r="A7" s="1" t="s">
        <v>5</v>
      </c>
      <c r="B7" s="2">
        <v>1776110.6801459801</v>
      </c>
      <c r="C7" s="2">
        <v>2425725.5544244498</v>
      </c>
      <c r="D7" s="2">
        <v>316870.77449858002</v>
      </c>
      <c r="E7" s="2">
        <f t="shared" si="0"/>
        <v>2108854.7799258698</v>
      </c>
      <c r="F7" s="2">
        <f t="shared" si="1"/>
        <v>332744.09977988969</v>
      </c>
      <c r="G7" s="2">
        <f t="shared" si="2"/>
        <v>1385945.2119190099</v>
      </c>
    </row>
    <row r="8" spans="1:7" x14ac:dyDescent="0.3">
      <c r="A8" s="1" t="s">
        <v>6</v>
      </c>
      <c r="B8" s="2">
        <v>2104278.7091254299</v>
      </c>
      <c r="C8" s="2">
        <v>2934156.5141361002</v>
      </c>
      <c r="D8" s="2">
        <v>370407.77309860999</v>
      </c>
      <c r="E8" s="2">
        <f t="shared" si="0"/>
        <v>2563748.7410374903</v>
      </c>
      <c r="F8" s="2">
        <f t="shared" si="1"/>
        <v>459470.03191206045</v>
      </c>
      <c r="G8" s="2">
        <f t="shared" si="2"/>
        <v>1845415.2438310704</v>
      </c>
    </row>
    <row r="9" spans="1:7" x14ac:dyDescent="0.3">
      <c r="A9" s="1" t="s">
        <v>7</v>
      </c>
      <c r="B9" s="2">
        <v>2418579.7881076201</v>
      </c>
      <c r="C9" s="2">
        <v>3519453.7869297601</v>
      </c>
      <c r="D9" s="2">
        <v>448035.01931478002</v>
      </c>
      <c r="E9" s="2">
        <f t="shared" si="0"/>
        <v>3071418.7676149802</v>
      </c>
      <c r="F9" s="2">
        <f t="shared" si="1"/>
        <v>652838.97950736014</v>
      </c>
      <c r="G9" s="2">
        <f t="shared" si="2"/>
        <v>2498254.2233384307</v>
      </c>
    </row>
    <row r="10" spans="1:7" x14ac:dyDescent="0.3">
      <c r="A10" s="1" t="s">
        <v>8</v>
      </c>
      <c r="B10" s="2">
        <v>2771463.99255352</v>
      </c>
      <c r="C10" s="2">
        <v>4072330.2001724299</v>
      </c>
      <c r="D10" s="2">
        <v>541094.98992127005</v>
      </c>
      <c r="E10" s="2">
        <f t="shared" si="0"/>
        <v>3531235.21025116</v>
      </c>
      <c r="F10" s="2">
        <f t="shared" si="1"/>
        <v>759771.21769763995</v>
      </c>
      <c r="G10" s="2">
        <f t="shared" si="2"/>
        <v>3258025.4410360707</v>
      </c>
    </row>
    <row r="11" spans="1:7" x14ac:dyDescent="0.3">
      <c r="A11" s="1" t="s">
        <v>9</v>
      </c>
      <c r="B11" s="2">
        <v>3065409.9917961499</v>
      </c>
      <c r="C11" s="2">
        <v>4627050.5254738098</v>
      </c>
      <c r="D11" s="2">
        <v>635193.45319416001</v>
      </c>
      <c r="E11" s="2">
        <f t="shared" si="0"/>
        <v>3991857.0722796498</v>
      </c>
      <c r="F11" s="2">
        <f t="shared" si="1"/>
        <v>926447.08048349991</v>
      </c>
      <c r="G11" s="2">
        <f t="shared" si="2"/>
        <v>4184472.5215195706</v>
      </c>
    </row>
    <row r="12" spans="1:7" x14ac:dyDescent="0.3">
      <c r="A12" s="1" t="s">
        <v>10</v>
      </c>
      <c r="B12" s="2">
        <v>3437422.3469674001</v>
      </c>
      <c r="C12" s="2">
        <v>5254084.4542246899</v>
      </c>
      <c r="D12" s="2">
        <v>751140.32608524</v>
      </c>
      <c r="E12" s="2">
        <f t="shared" si="0"/>
        <v>4502944.1281394502</v>
      </c>
      <c r="F12" s="2">
        <f t="shared" si="1"/>
        <v>1065521.7811720502</v>
      </c>
      <c r="G12" s="2">
        <f t="shared" si="2"/>
        <v>5249994.3026916208</v>
      </c>
    </row>
    <row r="13" spans="1:7" x14ac:dyDescent="0.3">
      <c r="A13" s="1" t="s">
        <v>11</v>
      </c>
      <c r="B13" s="2">
        <v>4020046.76400958</v>
      </c>
      <c r="C13" s="2">
        <v>5965391.2596758399</v>
      </c>
      <c r="D13" s="2">
        <v>876260.15503429004</v>
      </c>
      <c r="E13" s="2">
        <f t="shared" si="0"/>
        <v>5089131.1046415502</v>
      </c>
      <c r="F13" s="2">
        <f t="shared" si="1"/>
        <v>1069084.3406319702</v>
      </c>
      <c r="G13" s="2">
        <f t="shared" si="2"/>
        <v>6319078.643323591</v>
      </c>
    </row>
    <row r="14" spans="1:7" x14ac:dyDescent="0.3">
      <c r="A14" s="1" t="s">
        <v>12</v>
      </c>
      <c r="B14" s="2">
        <v>4718107.2873405302</v>
      </c>
      <c r="C14" s="2">
        <v>6885560.0437373798</v>
      </c>
      <c r="D14" s="2">
        <v>998231.68753097998</v>
      </c>
      <c r="E14" s="2">
        <f t="shared" si="0"/>
        <v>5887328.3562064003</v>
      </c>
      <c r="F14" s="2">
        <f t="shared" si="1"/>
        <v>1169221.0688658701</v>
      </c>
      <c r="G14" s="2">
        <f t="shared" si="2"/>
        <v>7488299.7121894611</v>
      </c>
    </row>
    <row r="15" spans="1:7" x14ac:dyDescent="0.3">
      <c r="A15" s="1" t="s">
        <v>13</v>
      </c>
      <c r="B15" s="2">
        <v>5536779.1919806805</v>
      </c>
      <c r="C15" s="2">
        <v>8150137.80104376</v>
      </c>
      <c r="D15" s="2">
        <v>1139096.4545947099</v>
      </c>
      <c r="E15" s="2">
        <f t="shared" si="0"/>
        <v>7011041.3464490501</v>
      </c>
      <c r="F15" s="2">
        <f t="shared" si="1"/>
        <v>1474262.1544683697</v>
      </c>
      <c r="G15" s="2">
        <f t="shared" si="2"/>
        <v>8962561.8666578308</v>
      </c>
    </row>
    <row r="16" spans="1:7" x14ac:dyDescent="0.3">
      <c r="A16" s="1" t="s">
        <v>14</v>
      </c>
      <c r="B16" s="2">
        <v>6686350.5577027798</v>
      </c>
      <c r="C16" s="2">
        <v>9577022.2268604208</v>
      </c>
      <c r="D16" s="2">
        <v>1294131.6353277999</v>
      </c>
      <c r="E16" s="2">
        <f t="shared" si="0"/>
        <v>8282890.5915326206</v>
      </c>
      <c r="F16" s="2">
        <f t="shared" si="1"/>
        <v>1596540.0338298408</v>
      </c>
      <c r="G16" s="2">
        <f t="shared" si="2"/>
        <v>10559101.900487673</v>
      </c>
    </row>
    <row r="17" spans="1:7" x14ac:dyDescent="0.3">
      <c r="A17" s="1" t="s">
        <v>15</v>
      </c>
      <c r="B17" s="2">
        <v>8005735.2544747395</v>
      </c>
      <c r="C17" s="2">
        <v>11613319.990806</v>
      </c>
      <c r="D17" s="2">
        <v>1528898.3447622401</v>
      </c>
      <c r="E17" s="2">
        <f t="shared" si="0"/>
        <v>10084421.646043761</v>
      </c>
      <c r="F17" s="2">
        <f t="shared" si="1"/>
        <v>2078686.3915690212</v>
      </c>
      <c r="G17" s="2">
        <f t="shared" si="2"/>
        <v>12637788.292056695</v>
      </c>
    </row>
    <row r="18" spans="1:7" x14ac:dyDescent="0.3">
      <c r="A18" s="1" t="s">
        <v>16</v>
      </c>
      <c r="B18" s="2">
        <v>9611264.0448759794</v>
      </c>
      <c r="C18" s="2">
        <v>13889052.911136299</v>
      </c>
      <c r="D18" s="2">
        <v>1778530.5403086499</v>
      </c>
      <c r="E18" s="2">
        <f t="shared" si="0"/>
        <v>12110522.370827649</v>
      </c>
      <c r="F18" s="2">
        <f t="shared" si="1"/>
        <v>2499258.3259516694</v>
      </c>
      <c r="G18" s="2">
        <f t="shared" si="2"/>
        <v>15137046.618008364</v>
      </c>
    </row>
    <row r="19" spans="1:7" x14ac:dyDescent="0.3">
      <c r="A19" s="1" t="s">
        <v>17</v>
      </c>
      <c r="B19" s="2">
        <v>11443597.177074799</v>
      </c>
      <c r="C19" s="2">
        <v>16208974.6985124</v>
      </c>
      <c r="D19" s="2">
        <v>2200769.4446887402</v>
      </c>
      <c r="E19" s="2">
        <f t="shared" si="0"/>
        <v>14008205.25382366</v>
      </c>
      <c r="F19" s="2">
        <f t="shared" si="1"/>
        <v>2564608.076748861</v>
      </c>
      <c r="G19" s="2">
        <f t="shared" si="2"/>
        <v>17701654.694757223</v>
      </c>
    </row>
    <row r="20" spans="1:7" x14ac:dyDescent="0.3">
      <c r="A20" s="1" t="s">
        <v>18</v>
      </c>
      <c r="B20" s="2">
        <v>11685019.5072197</v>
      </c>
      <c r="C20" s="2">
        <v>17626147.744796</v>
      </c>
      <c r="D20" s="2">
        <v>2775788.32914651</v>
      </c>
      <c r="E20" s="2">
        <f t="shared" si="0"/>
        <v>14850359.41564949</v>
      </c>
      <c r="F20" s="2">
        <f t="shared" si="1"/>
        <v>3165339.9084297903</v>
      </c>
      <c r="G20" s="2">
        <f t="shared" si="2"/>
        <v>20866994.603187013</v>
      </c>
    </row>
    <row r="21" spans="1:7" x14ac:dyDescent="0.3">
      <c r="A21" s="1" t="s">
        <v>19</v>
      </c>
      <c r="B21" s="2">
        <v>12950245.1894824</v>
      </c>
      <c r="C21" s="2">
        <v>19802010.5927076</v>
      </c>
      <c r="D21" s="2">
        <v>3291234.8825007901</v>
      </c>
      <c r="E21" s="2">
        <f t="shared" si="0"/>
        <v>16510775.71020681</v>
      </c>
      <c r="F21" s="2">
        <f t="shared" si="1"/>
        <v>3560530.5207244102</v>
      </c>
      <c r="G21" s="2">
        <f t="shared" si="2"/>
        <v>24427525.123911425</v>
      </c>
    </row>
    <row r="22" spans="1:7" x14ac:dyDescent="0.3">
      <c r="A22" s="1" t="s">
        <v>20</v>
      </c>
      <c r="B22" s="2">
        <v>14419471.9698583</v>
      </c>
      <c r="C22" s="2">
        <v>21623524.556480799</v>
      </c>
      <c r="D22" s="2">
        <v>3667746.8202640498</v>
      </c>
      <c r="E22" s="2">
        <f t="shared" si="0"/>
        <v>17955777.73621675</v>
      </c>
      <c r="F22" s="2">
        <f t="shared" si="1"/>
        <v>3536305.7663584501</v>
      </c>
      <c r="G22" s="2">
        <f t="shared" si="2"/>
        <v>27963830.890269876</v>
      </c>
    </row>
    <row r="23" spans="1:7" x14ac:dyDescent="0.3">
      <c r="A23" s="1" t="s">
        <v>21</v>
      </c>
      <c r="B23" s="2">
        <v>15938569.4430217</v>
      </c>
      <c r="C23" s="2">
        <v>23752868.5692912</v>
      </c>
      <c r="D23" s="2">
        <v>3988117.9637106499</v>
      </c>
      <c r="E23" s="2">
        <f t="shared" si="0"/>
        <v>19764750.60558055</v>
      </c>
      <c r="F23" s="2">
        <f t="shared" si="1"/>
        <v>3826181.1625588499</v>
      </c>
      <c r="G23" s="2">
        <f t="shared" si="2"/>
        <v>31790012.052828725</v>
      </c>
    </row>
    <row r="24" spans="1:7" x14ac:dyDescent="0.3">
      <c r="A24" s="1" t="s">
        <v>22</v>
      </c>
      <c r="B24" s="2">
        <v>16846917.830735099</v>
      </c>
      <c r="C24" s="2">
        <v>25462954.639352702</v>
      </c>
      <c r="D24" s="2">
        <v>4361852.2904070597</v>
      </c>
      <c r="E24" s="2">
        <f t="shared" si="0"/>
        <v>21101102.34894564</v>
      </c>
      <c r="F24" s="2">
        <f t="shared" si="1"/>
        <v>4254184.5182105415</v>
      </c>
      <c r="G24" s="2">
        <f t="shared" si="2"/>
        <v>36044196.571039267</v>
      </c>
    </row>
    <row r="25" spans="1:7" x14ac:dyDescent="0.3">
      <c r="A25" s="1" t="s">
        <v>23</v>
      </c>
      <c r="B25" s="2">
        <v>18545546.680801298</v>
      </c>
      <c r="C25" s="2">
        <v>28001327.620471001</v>
      </c>
      <c r="D25" s="2">
        <v>4763390.7556267995</v>
      </c>
      <c r="E25" s="2">
        <f t="shared" si="0"/>
        <v>23237936.864844203</v>
      </c>
      <c r="F25" s="2">
        <f t="shared" si="1"/>
        <v>4692390.1840429045</v>
      </c>
      <c r="G25" s="2">
        <f t="shared" si="2"/>
        <v>40736586.755082175</v>
      </c>
    </row>
    <row r="26" spans="1:7" x14ac:dyDescent="0.3">
      <c r="A26" s="1" t="s">
        <v>24</v>
      </c>
      <c r="B26" s="2">
        <v>19596141.697371699</v>
      </c>
      <c r="C26" s="2">
        <v>30171918.863718402</v>
      </c>
      <c r="D26" s="2">
        <v>5117230.4294316797</v>
      </c>
      <c r="E26" s="2">
        <f t="shared" si="0"/>
        <v>25054688.434286721</v>
      </c>
      <c r="F26" s="2">
        <f t="shared" si="1"/>
        <v>5458546.7369150221</v>
      </c>
      <c r="G26" s="2">
        <f t="shared" si="2"/>
        <v>46195133.491997197</v>
      </c>
    </row>
    <row r="27" spans="1:7" x14ac:dyDescent="0.3">
      <c r="A27" s="1" t="s">
        <v>25</v>
      </c>
      <c r="B27" s="2">
        <v>20535471.569260299</v>
      </c>
      <c r="C27" s="2">
        <v>32056288.212048002</v>
      </c>
      <c r="D27" s="2">
        <v>5356182.3220489603</v>
      </c>
      <c r="E27" s="2">
        <f t="shared" si="0"/>
        <v>26700105.889999039</v>
      </c>
      <c r="F27" s="2">
        <f t="shared" si="1"/>
        <v>6164634.3207387403</v>
      </c>
      <c r="G27" s="2">
        <f t="shared" si="2"/>
        <v>52359767.812735938</v>
      </c>
    </row>
    <row r="28" spans="1:7" x14ac:dyDescent="0.3">
      <c r="A28" s="1" t="s">
        <v>26</v>
      </c>
      <c r="B28" s="2">
        <v>22365798.520190898</v>
      </c>
      <c r="C28" s="2">
        <v>34343647.497605197</v>
      </c>
      <c r="D28" s="2">
        <v>5617993.83805779</v>
      </c>
      <c r="E28" s="2">
        <f t="shared" si="0"/>
        <v>28725653.659547407</v>
      </c>
      <c r="F28" s="2">
        <f t="shared" si="1"/>
        <v>6359855.1393565089</v>
      </c>
      <c r="G28" s="2">
        <f t="shared" si="2"/>
        <v>58719622.952092446</v>
      </c>
    </row>
    <row r="29" spans="1:7" x14ac:dyDescent="0.3">
      <c r="A29" s="1" t="s">
        <v>27</v>
      </c>
      <c r="B29" s="2">
        <v>23374534.2047043</v>
      </c>
      <c r="C29" s="2">
        <v>36014718.708003998</v>
      </c>
      <c r="D29" s="2">
        <v>5832848.0041832104</v>
      </c>
      <c r="E29" s="2">
        <f t="shared" si="0"/>
        <v>30181870.703820787</v>
      </c>
      <c r="F29" s="2">
        <f t="shared" si="1"/>
        <v>6807336.4991164878</v>
      </c>
      <c r="G29" s="2">
        <f t="shared" si="2"/>
        <v>65526959.451208934</v>
      </c>
    </row>
    <row r="30" spans="1:7" x14ac:dyDescent="0.3">
      <c r="A30" s="1" t="s">
        <v>28</v>
      </c>
      <c r="B30" s="2">
        <v>24324029.647595</v>
      </c>
      <c r="C30" s="2">
        <v>37832149.784087896</v>
      </c>
      <c r="D30" s="2">
        <v>6337339.4451050796</v>
      </c>
      <c r="E30" s="2">
        <f t="shared" si="0"/>
        <v>31494810.338982817</v>
      </c>
      <c r="F30" s="2">
        <f t="shared" si="1"/>
        <v>7170780.6913878173</v>
      </c>
      <c r="G30" s="2">
        <f t="shared" si="2"/>
        <v>72697740.142596751</v>
      </c>
    </row>
    <row r="31" spans="1:7" x14ac:dyDescent="0.3">
      <c r="A31" s="1" t="s">
        <v>29</v>
      </c>
      <c r="B31" s="2">
        <v>22794603.777163599</v>
      </c>
      <c r="C31" s="2">
        <v>36495246.081759401</v>
      </c>
      <c r="D31" s="2">
        <v>6461385.5367801301</v>
      </c>
      <c r="E31" s="2">
        <f t="shared" si="0"/>
        <v>30033860.544979271</v>
      </c>
      <c r="F31" s="2">
        <f t="shared" si="1"/>
        <v>7239256.7678156719</v>
      </c>
      <c r="G31" s="2">
        <f t="shared" si="2"/>
        <v>79936996.910412431</v>
      </c>
    </row>
    <row r="32" spans="1:7" x14ac:dyDescent="0.3">
      <c r="A32" s="1" t="s">
        <v>30</v>
      </c>
      <c r="B32" s="2">
        <v>25533345.7599518</v>
      </c>
      <c r="C32" s="2">
        <v>40326625.935924597</v>
      </c>
      <c r="D32" s="2">
        <v>6666313.0647745701</v>
      </c>
      <c r="E32" s="2">
        <f t="shared" si="0"/>
        <v>33660312.871150024</v>
      </c>
      <c r="F32" s="2">
        <f t="shared" si="1"/>
        <v>8126967.1111982241</v>
      </c>
      <c r="G32" s="2">
        <f t="shared" si="2"/>
        <v>88063964.021610647</v>
      </c>
    </row>
    <row r="33" spans="1:7" x14ac:dyDescent="0.3">
      <c r="A33" s="1" t="s">
        <v>31</v>
      </c>
      <c r="B33" s="2">
        <v>28823571.769524999</v>
      </c>
      <c r="C33" s="2">
        <v>44810030.5713493</v>
      </c>
      <c r="D33" s="2">
        <v>6898897.9649002496</v>
      </c>
      <c r="E33" s="2">
        <f t="shared" si="0"/>
        <v>37911132.606449053</v>
      </c>
      <c r="F33" s="2">
        <f t="shared" si="1"/>
        <v>9087560.8369240537</v>
      </c>
      <c r="G33" s="2">
        <f t="shared" si="2"/>
        <v>97151524.858534694</v>
      </c>
    </row>
    <row r="34" spans="1:7" x14ac:dyDescent="0.3">
      <c r="A34" s="1" t="s">
        <v>32</v>
      </c>
      <c r="B34" s="2">
        <v>30358241.334578302</v>
      </c>
      <c r="C34" s="2">
        <v>47059272.162280098</v>
      </c>
      <c r="D34" s="2">
        <v>6999357.7673154902</v>
      </c>
      <c r="E34" s="2">
        <f t="shared" si="0"/>
        <v>40059914.394964606</v>
      </c>
      <c r="F34" s="2">
        <f t="shared" si="1"/>
        <v>9701673.0603863038</v>
      </c>
      <c r="G34" s="2">
        <f t="shared" si="2"/>
        <v>106853197.91892099</v>
      </c>
    </row>
    <row r="35" spans="1:7" x14ac:dyDescent="0.3">
      <c r="A35" s="1" t="s">
        <v>33</v>
      </c>
      <c r="B35" s="2">
        <v>31394858.191729002</v>
      </c>
      <c r="C35" s="2">
        <v>49115934.7426349</v>
      </c>
      <c r="D35" s="2">
        <v>7209481.2293336699</v>
      </c>
      <c r="E35" s="2">
        <f t="shared" si="0"/>
        <v>41906453.513301231</v>
      </c>
      <c r="F35" s="2">
        <f t="shared" si="1"/>
        <v>10511595.321572229</v>
      </c>
      <c r="G35" s="2">
        <f t="shared" si="2"/>
        <v>117364793.24049322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Quesada Rojas</dc:creator>
  <cp:lastModifiedBy>Allan Quesada Rojas</cp:lastModifiedBy>
  <dcterms:created xsi:type="dcterms:W3CDTF">2025-06-04T03:30:39Z</dcterms:created>
  <dcterms:modified xsi:type="dcterms:W3CDTF">2025-06-04T05:01:26Z</dcterms:modified>
</cp:coreProperties>
</file>